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n\Desktop\"/>
    </mc:Choice>
  </mc:AlternateContent>
  <xr:revisionPtr revIDLastSave="0" documentId="8_{9B2D8592-A95A-48B3-9FBF-1CFD888425EB}" xr6:coauthVersionLast="47" xr6:coauthVersionMax="47" xr10:uidLastSave="{00000000-0000-0000-0000-000000000000}"/>
  <bookViews>
    <workbookView xWindow="-108" yWindow="-108" windowWidth="23256" windowHeight="13896" activeTab="1" xr2:uid="{84D7E829-43E2-4DFF-B192-5BB58AE1E850}"/>
  </bookViews>
  <sheets>
    <sheet name="DataSet" sheetId="1" r:id="rId1"/>
    <sheet name="Cleaned Data" sheetId="2" r:id="rId2"/>
  </sheets>
  <definedNames>
    <definedName name="_xlnm._FilterDatabase" localSheetId="1" hidden="1">'Cleaned Data'!$A$1:$I$29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I8" i="2"/>
  <c r="I14" i="2"/>
  <c r="I26" i="2"/>
  <c r="I7" i="2"/>
  <c r="I2" i="2"/>
  <c r="I10" i="2"/>
  <c r="I23" i="2"/>
  <c r="I15" i="2"/>
  <c r="I27" i="2"/>
  <c r="I11" i="2"/>
  <c r="I13" i="2"/>
  <c r="I17" i="2"/>
  <c r="I21" i="2"/>
  <c r="I4" i="2"/>
  <c r="I20" i="2"/>
  <c r="I28" i="2"/>
  <c r="I18" i="2"/>
  <c r="I24" i="2"/>
  <c r="I9" i="2"/>
  <c r="I19" i="2"/>
  <c r="I25" i="2"/>
  <c r="I22" i="2"/>
  <c r="I6" i="2"/>
  <c r="I3" i="2"/>
  <c r="I16" i="2"/>
  <c r="I5" i="2"/>
  <c r="I12" i="2"/>
  <c r="I29" i="2"/>
  <c r="H8" i="2"/>
  <c r="H14" i="2"/>
  <c r="H26" i="2"/>
  <c r="H7" i="2"/>
  <c r="H2" i="2"/>
  <c r="H10" i="2"/>
  <c r="H23" i="2"/>
  <c r="H15" i="2"/>
  <c r="H27" i="2"/>
  <c r="H11" i="2"/>
  <c r="H13" i="2"/>
  <c r="H17" i="2"/>
  <c r="H21" i="2"/>
  <c r="H4" i="2"/>
  <c r="H20" i="2"/>
  <c r="H28" i="2"/>
  <c r="H18" i="2"/>
  <c r="H24" i="2"/>
  <c r="H9" i="2"/>
  <c r="H19" i="2"/>
  <c r="H25" i="2"/>
  <c r="H22" i="2"/>
  <c r="H6" i="2"/>
  <c r="H3" i="2"/>
  <c r="H16" i="2"/>
  <c r="H5" i="2"/>
  <c r="H12" i="2"/>
  <c r="H29" i="2"/>
</calcChain>
</file>

<file path=xl/sharedStrings.xml><?xml version="1.0" encoding="utf-8"?>
<sst xmlns="http://schemas.openxmlformats.org/spreadsheetml/2006/main" count="259" uniqueCount="101">
  <si>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</si>
  <si>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</si>
  <si>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</si>
  <si>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</si>
  <si>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</si>
  <si>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</si>
  <si>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</si>
  <si>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</si>
  <si>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</si>
  <si>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</si>
  <si>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</si>
  <si>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</si>
  <si>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</si>
  <si>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</si>
  <si>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</si>
  <si>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</si>
  <si>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</si>
  <si>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</si>
  <si>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</si>
  <si>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</si>
  <si>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</si>
  <si>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</si>
  <si>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</si>
  <si>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</si>
  <si>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</si>
  <si>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</si>
  <si>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</si>
  <si>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</si>
  <si>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</si>
  <si>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</si>
  <si>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</si>
  <si>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</si>
  <si>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</si>
  <si>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</si>
  <si>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</si>
  <si>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</si>
  <si>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</si>
  <si>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</si>
  <si>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</si>
  <si>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</si>
  <si>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</si>
  <si>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</si>
  <si>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</si>
  <si>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</si>
  <si>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</si>
  <si>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</si>
  <si>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</si>
  <si>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</si>
  <si>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</si>
  <si>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</si>
  <si>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</si>
  <si>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</si>
  <si>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</si>
  <si>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</si>
  <si>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</si>
  <si>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</si>
  <si>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</si>
  <si>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</si>
  <si>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</si>
  <si>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</si>
  <si>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</si>
  <si>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</si>
  <si>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</si>
  <si>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</si>
  <si>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</si>
  <si>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</si>
  <si>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</si>
  <si>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</si>
  <si>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</si>
  <si>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</si>
  <si>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</si>
  <si>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</si>
  <si>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</si>
  <si>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</si>
  <si>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</si>
  <si>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</si>
  <si>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</si>
  <si>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</si>
  <si>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</si>
  <si>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</si>
  <si>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</si>
  <si>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</si>
  <si>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</si>
  <si>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</si>
  <si>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</si>
  <si>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</si>
  <si>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</si>
  <si>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</si>
  <si>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</si>
  <si>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</si>
  <si>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</si>
  <si>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</si>
  <si>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</si>
  <si>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</si>
  <si>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</si>
  <si>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</si>
  <si>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</si>
  <si>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T-Shirt</t>
  </si>
  <si>
    <t>Country code</t>
  </si>
  <si>
    <t>Manufacturing date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</si>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</sst>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&quot;₹&quot;\ #,##0"/>
  </numFmts>
  <fonts count="3">
    <font>
      <sz val="11"/>
      <color theme="1"/>
      <name val="Aptos Narrow"/>
      <family val="2"/>
      <scheme val="minor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14" fontId="0" fillId="0" borderId="0" xfId="0" applyNumberFormat="1"/>
    <xf numFmtId="170" fontId="2" fillId="0" borderId="0" xfId="0" applyNumberFormat="1" applyFont="1"/>
    <xf numFmtId="170" fontId="2" fillId="3" borderId="0" xfId="0" applyNumberFormat="1" applyFont="1" applyFill="1"/>
    <xf numFmtId="3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88AAE-2E3D-4F40-90EA-5C15E1D943A6}">
  <dimension ref="A1:F35"/>
  <sheetViews>
    <sheetView topLeftCell="A10" workbookViewId="0">
      <selection activeCell="O33" sqref="O33"/>
    </sheetView>
  </sheetViews>
  <sheetFormatPr defaultRowHeight="14.4"/>
  <cols>
    <col min="1" max="1" width="10.77734375" bestFit="1" customWidth="1"/>
    <col min="2" max="2" width="13.6640625" bestFit="1" customWidth="1"/>
    <col min="3" max="3" width="11.77734375" bestFit="1" customWidth="1"/>
    <col min="4" max="4" width="8.33203125" bestFit="1" customWidth="1"/>
    <col min="5" max="5" width="8.44140625" bestFit="1" customWidth="1"/>
    <col min="6" max="6" width="11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spans="1:6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</row>
    <row r="4" spans="1:6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</row>
    <row r="5" spans="1:6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</row>
    <row r="6" spans="1:6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/>
    </row>
    <row r="7" spans="1:6">
      <c r="A7" s="3" t="s">
        <v>24</v>
      </c>
      <c r="B7" s="3" t="s">
        <v>25</v>
      </c>
      <c r="C7" s="3" t="s">
        <v>26</v>
      </c>
      <c r="D7" s="3"/>
      <c r="E7" s="3">
        <v>45</v>
      </c>
      <c r="F7" s="3" t="s">
        <v>27</v>
      </c>
    </row>
    <row r="8" spans="1:6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spans="1:6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spans="1:6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spans="1:6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</row>
    <row r="12" spans="1:6">
      <c r="A12" s="2" t="s">
        <v>41</v>
      </c>
      <c r="B12" s="2" t="s">
        <v>42</v>
      </c>
      <c r="C12" s="2" t="s">
        <v>43</v>
      </c>
      <c r="D12" s="2">
        <v>950</v>
      </c>
      <c r="E12" s="2">
        <v>25</v>
      </c>
      <c r="F12" s="2" t="s">
        <v>9</v>
      </c>
    </row>
    <row r="13" spans="1:6">
      <c r="A13" s="3" t="s">
        <v>44</v>
      </c>
      <c r="B13" s="3" t="s">
        <v>11</v>
      </c>
      <c r="C13" s="3" t="s">
        <v>30</v>
      </c>
      <c r="D13" s="3">
        <v>90</v>
      </c>
      <c r="E13" s="3">
        <v>40</v>
      </c>
      <c r="F13" s="3"/>
    </row>
    <row r="14" spans="1:6">
      <c r="A14" s="2" t="s">
        <v>45</v>
      </c>
      <c r="B14" s="2" t="s">
        <v>15</v>
      </c>
      <c r="C14" s="2" t="s">
        <v>46</v>
      </c>
      <c r="D14" s="2">
        <v>120</v>
      </c>
      <c r="E14" s="2">
        <v>35</v>
      </c>
      <c r="F14" s="2"/>
    </row>
    <row r="15" spans="1:6">
      <c r="A15" s="3" t="s">
        <v>47</v>
      </c>
      <c r="B15" s="3" t="s">
        <v>48</v>
      </c>
      <c r="C15" s="3" t="s">
        <v>49</v>
      </c>
      <c r="D15" s="3">
        <v>150</v>
      </c>
      <c r="E15" s="3">
        <v>15</v>
      </c>
      <c r="F15" s="3" t="s">
        <v>27</v>
      </c>
    </row>
    <row r="16" spans="1:6">
      <c r="A16" s="2" t="s">
        <v>50</v>
      </c>
      <c r="B16" s="2" t="s">
        <v>51</v>
      </c>
      <c r="C16" s="2" t="s">
        <v>52</v>
      </c>
      <c r="D16" s="2">
        <v>250</v>
      </c>
      <c r="E16" s="2">
        <v>20</v>
      </c>
      <c r="F16" s="2" t="s">
        <v>27</v>
      </c>
    </row>
    <row r="17" spans="1:6">
      <c r="A17" s="3" t="s">
        <v>53</v>
      </c>
      <c r="B17" s="3" t="s">
        <v>54</v>
      </c>
      <c r="C17" s="3" t="s">
        <v>55</v>
      </c>
      <c r="D17" s="3">
        <v>50</v>
      </c>
      <c r="E17" s="3">
        <v>35</v>
      </c>
      <c r="F17" s="3" t="s">
        <v>56</v>
      </c>
    </row>
    <row r="18" spans="1:6">
      <c r="A18" s="2" t="s">
        <v>57</v>
      </c>
      <c r="B18" s="2" t="s">
        <v>48</v>
      </c>
      <c r="C18" s="2" t="s">
        <v>58</v>
      </c>
      <c r="D18" s="2">
        <v>160</v>
      </c>
      <c r="E18" s="2">
        <v>15</v>
      </c>
      <c r="F18" s="2" t="s">
        <v>27</v>
      </c>
    </row>
    <row r="19" spans="1:6">
      <c r="A19" s="3" t="s">
        <v>59</v>
      </c>
      <c r="B19" s="3" t="s">
        <v>7</v>
      </c>
      <c r="C19" s="3" t="s">
        <v>60</v>
      </c>
      <c r="D19" s="3">
        <v>980</v>
      </c>
      <c r="E19" s="3">
        <v>10</v>
      </c>
      <c r="F19" s="3" t="s">
        <v>9</v>
      </c>
    </row>
    <row r="20" spans="1:6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</row>
    <row r="21" spans="1:6">
      <c r="A21" s="3" t="s">
        <v>64</v>
      </c>
      <c r="B21" s="3" t="s">
        <v>65</v>
      </c>
      <c r="C21" s="3" t="s">
        <v>66</v>
      </c>
      <c r="D21" s="3"/>
      <c r="E21" s="3">
        <v>10</v>
      </c>
      <c r="F21" s="3" t="s">
        <v>40</v>
      </c>
    </row>
    <row r="22" spans="1:6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</row>
    <row r="23" spans="1:6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</row>
    <row r="24" spans="1:6">
      <c r="A24" s="2" t="s">
        <v>73</v>
      </c>
      <c r="B24" s="2" t="s">
        <v>74</v>
      </c>
      <c r="C24" s="2" t="s">
        <v>75</v>
      </c>
      <c r="D24" s="2">
        <v>150</v>
      </c>
      <c r="E24" s="2">
        <v>30</v>
      </c>
      <c r="F24" s="2"/>
    </row>
    <row r="25" spans="1:6">
      <c r="A25" s="3" t="s">
        <v>53</v>
      </c>
      <c r="B25" s="3" t="s">
        <v>54</v>
      </c>
      <c r="C25" s="3" t="s">
        <v>55</v>
      </c>
      <c r="D25" s="3">
        <v>50</v>
      </c>
      <c r="E25" s="3">
        <v>35</v>
      </c>
      <c r="F25" s="3" t="s">
        <v>56</v>
      </c>
    </row>
    <row r="26" spans="1:6">
      <c r="A26" s="2" t="s">
        <v>76</v>
      </c>
      <c r="B26" s="2" t="s">
        <v>77</v>
      </c>
      <c r="C26" s="2" t="s">
        <v>78</v>
      </c>
      <c r="D26" s="2">
        <v>800</v>
      </c>
      <c r="E26" s="2">
        <v>45</v>
      </c>
      <c r="F26" s="2" t="s">
        <v>9</v>
      </c>
    </row>
    <row r="27" spans="1:6">
      <c r="A27" s="3" t="s">
        <v>79</v>
      </c>
      <c r="B27" s="3" t="s">
        <v>62</v>
      </c>
      <c r="C27" s="3" t="s">
        <v>80</v>
      </c>
      <c r="D27" s="3"/>
      <c r="E27" s="3">
        <v>25</v>
      </c>
      <c r="F27" s="3" t="s">
        <v>13</v>
      </c>
    </row>
    <row r="28" spans="1:6">
      <c r="A28" s="2" t="s">
        <v>81</v>
      </c>
      <c r="B28" s="2" t="s">
        <v>32</v>
      </c>
      <c r="C28" s="2" t="s">
        <v>82</v>
      </c>
      <c r="D28" s="2">
        <v>400</v>
      </c>
      <c r="E28" s="2">
        <v>40</v>
      </c>
      <c r="F28" s="2" t="s">
        <v>17</v>
      </c>
    </row>
    <row r="29" spans="1:6">
      <c r="A29" s="3" t="s">
        <v>50</v>
      </c>
      <c r="B29" s="3" t="s">
        <v>51</v>
      </c>
      <c r="C29" s="3" t="s">
        <v>52</v>
      </c>
      <c r="D29" s="3">
        <v>250</v>
      </c>
      <c r="E29" s="3">
        <v>20</v>
      </c>
      <c r="F29" s="3" t="s">
        <v>27</v>
      </c>
    </row>
    <row r="30" spans="1:6">
      <c r="A30" s="2" t="s">
        <v>83</v>
      </c>
      <c r="B30" s="2" t="s">
        <v>84</v>
      </c>
      <c r="C30" s="2" t="s">
        <v>85</v>
      </c>
      <c r="D30" s="2">
        <v>60</v>
      </c>
      <c r="E30" s="2">
        <v>30</v>
      </c>
      <c r="F30" s="2" t="s">
        <v>13</v>
      </c>
    </row>
    <row r="31" spans="1:6">
      <c r="A31" s="3" t="s">
        <v>86</v>
      </c>
      <c r="B31" s="3" t="s">
        <v>87</v>
      </c>
      <c r="C31" s="3" t="s">
        <v>88</v>
      </c>
      <c r="D31" s="3">
        <v>40</v>
      </c>
      <c r="E31" s="3">
        <v>10</v>
      </c>
      <c r="F31" s="3" t="s">
        <v>17</v>
      </c>
    </row>
    <row r="32" spans="1:6">
      <c r="A32" s="2" t="s">
        <v>89</v>
      </c>
      <c r="B32" s="2" t="s">
        <v>74</v>
      </c>
      <c r="C32" s="2" t="s">
        <v>90</v>
      </c>
      <c r="D32" s="2">
        <v>130</v>
      </c>
      <c r="E32" s="2">
        <v>5</v>
      </c>
      <c r="F32" s="2" t="s">
        <v>9</v>
      </c>
    </row>
    <row r="33" spans="1:6">
      <c r="A33" s="3" t="s">
        <v>91</v>
      </c>
      <c r="B33" s="3" t="s">
        <v>92</v>
      </c>
      <c r="C33" s="3" t="s">
        <v>93</v>
      </c>
      <c r="D33" s="3">
        <v>50</v>
      </c>
      <c r="E33" s="3">
        <v>50</v>
      </c>
      <c r="F33" s="3" t="s">
        <v>13</v>
      </c>
    </row>
    <row r="34" spans="1:6">
      <c r="A34" s="2" t="s">
        <v>41</v>
      </c>
      <c r="B34" s="2" t="s">
        <v>42</v>
      </c>
      <c r="C34" s="2" t="s">
        <v>43</v>
      </c>
      <c r="D34" s="2">
        <v>950</v>
      </c>
      <c r="E34" s="2">
        <v>25</v>
      </c>
      <c r="F34" s="2" t="s">
        <v>9</v>
      </c>
    </row>
    <row r="35" spans="1:6">
      <c r="A35" s="3" t="s">
        <v>94</v>
      </c>
      <c r="B35" s="3" t="s">
        <v>95</v>
      </c>
      <c r="C35" s="3" t="s">
        <v>96</v>
      </c>
      <c r="D35" s="3">
        <v>100</v>
      </c>
      <c r="E35" s="3">
        <v>20</v>
      </c>
      <c r="F35" s="3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9BEC4-C6E5-45DA-BC5F-EC78415DB68B}">
  <dimension ref="A1:I29"/>
  <sheetViews>
    <sheetView tabSelected="1" workbookViewId="0">
      <selection activeCell="B2" sqref="B2"/>
    </sheetView>
  </sheetViews>
  <sheetFormatPr defaultRowHeight="14.4"/>
  <cols>
    <col min="1" max="1" width="14.77734375" bestFit="1" customWidth="1"/>
    <col min="2" max="2" width="18" bestFit="1" customWidth="1"/>
    <col min="3" max="3" width="21.44140625" bestFit="1" customWidth="1"/>
    <col min="4" max="4" width="16.21875" bestFit="1" customWidth="1"/>
    <col min="5" max="5" width="12.77734375" bestFit="1" customWidth="1"/>
    <col min="6" max="6" width="12.88671875" bestFit="1" customWidth="1"/>
    <col min="7" max="7" width="13.44140625" bestFit="1" customWidth="1"/>
    <col min="8" max="8" width="17.33203125" bestFit="1" customWidth="1"/>
    <col min="9" max="9" width="22.44140625" bestFit="1" customWidth="1"/>
  </cols>
  <sheetData>
    <row r="1" spans="1:9">
      <c r="A1" s="1" t="s">
        <v>0</v>
      </c>
      <c r="B1" s="1" t="s">
        <v>1</v>
      </c>
      <c r="C1" s="1" t="s">
        <v>100</v>
      </c>
      <c r="D1" s="1" t="s">
        <v>2</v>
      </c>
      <c r="E1" s="7" t="s">
        <v>3</v>
      </c>
      <c r="F1" s="1" t="s">
        <v>4</v>
      </c>
      <c r="G1" s="1" t="s">
        <v>5</v>
      </c>
      <c r="H1" s="1" t="s">
        <v>98</v>
      </c>
      <c r="I1" s="1" t="s">
        <v>99</v>
      </c>
    </row>
    <row r="2" spans="1:9">
      <c r="A2" s="2" t="s">
        <v>28</v>
      </c>
      <c r="B2" s="2" t="s">
        <v>97</v>
      </c>
      <c r="C2" s="2" t="str">
        <f>B2&amp;" "&amp;D2</f>
        <v>T-Shirt Adidas</v>
      </c>
      <c r="D2" s="2" t="s">
        <v>30</v>
      </c>
      <c r="E2" s="5">
        <v>30</v>
      </c>
      <c r="F2" s="2">
        <v>5</v>
      </c>
      <c r="G2" s="2" t="s">
        <v>13</v>
      </c>
      <c r="H2" t="str">
        <f>RIGHT(A2,2)</f>
        <v>UK</v>
      </c>
      <c r="I2" s="4">
        <f>DATEVALUE(LEFT(A2,6)&amp;"-2026")</f>
        <v>46222</v>
      </c>
    </row>
    <row r="3" spans="1:9">
      <c r="A3" s="3" t="s">
        <v>86</v>
      </c>
      <c r="B3" s="3" t="s">
        <v>87</v>
      </c>
      <c r="C3" s="2" t="str">
        <f t="shared" ref="C3:C29" si="0">B3&amp;" "&amp;D3</f>
        <v>Toaster Hamilton</v>
      </c>
      <c r="D3" s="3" t="s">
        <v>88</v>
      </c>
      <c r="E3" s="6">
        <v>40</v>
      </c>
      <c r="F3" s="3">
        <v>10</v>
      </c>
      <c r="G3" s="3" t="s">
        <v>17</v>
      </c>
      <c r="H3" t="str">
        <f>RIGHT(A3,2)</f>
        <v>CA</v>
      </c>
      <c r="I3" s="4">
        <f>DATEVALUE(LEFT(A3,6)&amp;"-2026")</f>
        <v>46125</v>
      </c>
    </row>
    <row r="4" spans="1:9">
      <c r="A4" s="3" t="s">
        <v>53</v>
      </c>
      <c r="B4" s="3" t="s">
        <v>54</v>
      </c>
      <c r="C4" s="2" t="str">
        <f t="shared" si="0"/>
        <v>Laptop Bag Samsonite</v>
      </c>
      <c r="D4" s="3" t="s">
        <v>55</v>
      </c>
      <c r="E4" s="6">
        <v>50</v>
      </c>
      <c r="F4" s="3">
        <v>35</v>
      </c>
      <c r="G4" s="3" t="s">
        <v>56</v>
      </c>
      <c r="H4" t="str">
        <f>RIGHT(A4,2)</f>
        <v>CA</v>
      </c>
      <c r="I4" s="4">
        <f>DATEVALUE(LEFT(A4,6)&amp;"-2026")</f>
        <v>46255</v>
      </c>
    </row>
    <row r="5" spans="1:9">
      <c r="A5" s="3" t="s">
        <v>91</v>
      </c>
      <c r="B5" s="3" t="s">
        <v>92</v>
      </c>
      <c r="C5" s="2" t="str">
        <f t="shared" si="0"/>
        <v>Jeans Levi's</v>
      </c>
      <c r="D5" s="3" t="s">
        <v>93</v>
      </c>
      <c r="E5" s="6">
        <v>50</v>
      </c>
      <c r="F5" s="3">
        <v>50</v>
      </c>
      <c r="G5" s="3" t="s">
        <v>13</v>
      </c>
      <c r="H5" t="str">
        <f>RIGHT(A5,2)</f>
        <v>CA</v>
      </c>
      <c r="I5" s="4">
        <f>DATEVALUE(LEFT(A5,6)&amp;"-2026")</f>
        <v>46358</v>
      </c>
    </row>
    <row r="6" spans="1:9">
      <c r="A6" s="2" t="s">
        <v>83</v>
      </c>
      <c r="B6" s="2" t="s">
        <v>84</v>
      </c>
      <c r="C6" s="2" t="str">
        <f t="shared" si="0"/>
        <v>Dress Zara</v>
      </c>
      <c r="D6" s="2" t="s">
        <v>85</v>
      </c>
      <c r="E6" s="5">
        <v>60</v>
      </c>
      <c r="F6" s="2">
        <v>30</v>
      </c>
      <c r="G6" s="2" t="s">
        <v>13</v>
      </c>
      <c r="H6" t="str">
        <f>RIGHT(A6,2)</f>
        <v>CA</v>
      </c>
      <c r="I6" s="4">
        <f>DATEVALUE(LEFT(A6,6)&amp;"-2026")</f>
        <v>46088</v>
      </c>
    </row>
    <row r="7" spans="1:9">
      <c r="A7" s="2" t="s">
        <v>21</v>
      </c>
      <c r="B7" s="2" t="s">
        <v>22</v>
      </c>
      <c r="C7" s="2" t="str">
        <f t="shared" si="0"/>
        <v>Backpack North Face</v>
      </c>
      <c r="D7" s="2" t="s">
        <v>23</v>
      </c>
      <c r="E7" s="5">
        <v>70</v>
      </c>
      <c r="F7" s="2">
        <v>20</v>
      </c>
      <c r="G7" s="2" t="s">
        <v>56</v>
      </c>
      <c r="H7" t="str">
        <f>RIGHT(A7,2)</f>
        <v>US</v>
      </c>
      <c r="I7" s="4">
        <f>DATEVALUE(LEFT(A7,6)&amp;"-2026")</f>
        <v>46164</v>
      </c>
    </row>
    <row r="8" spans="1:9">
      <c r="A8" s="3" t="s">
        <v>10</v>
      </c>
      <c r="B8" s="3" t="s">
        <v>11</v>
      </c>
      <c r="C8" s="2" t="str">
        <f t="shared" si="0"/>
        <v>Sneakers Nike</v>
      </c>
      <c r="D8" s="3" t="s">
        <v>12</v>
      </c>
      <c r="E8" s="6">
        <v>80</v>
      </c>
      <c r="F8" s="3">
        <v>15</v>
      </c>
      <c r="G8" s="3" t="s">
        <v>13</v>
      </c>
      <c r="H8" t="str">
        <f>RIGHT(A8,2)</f>
        <v>US</v>
      </c>
      <c r="I8" s="4">
        <f>DATEVALUE(LEFT(A8,6)&amp;"-2026")</f>
        <v>46068</v>
      </c>
    </row>
    <row r="9" spans="1:9">
      <c r="A9" s="3" t="s">
        <v>70</v>
      </c>
      <c r="B9" s="3" t="s">
        <v>71</v>
      </c>
      <c r="C9" s="2" t="str">
        <f t="shared" si="0"/>
        <v>Microwave Panasonic</v>
      </c>
      <c r="D9" s="3" t="s">
        <v>72</v>
      </c>
      <c r="E9" s="6">
        <v>80</v>
      </c>
      <c r="F9" s="3">
        <v>20</v>
      </c>
      <c r="G9" s="3" t="s">
        <v>17</v>
      </c>
      <c r="H9" t="str">
        <f>RIGHT(A9,2)</f>
        <v>CA</v>
      </c>
      <c r="I9" s="4">
        <f>DATEVALUE(LEFT(A9,6)&amp;"-2026")</f>
        <v>46031</v>
      </c>
    </row>
    <row r="10" spans="1:9">
      <c r="A10" s="3" t="s">
        <v>31</v>
      </c>
      <c r="B10" s="3" t="s">
        <v>32</v>
      </c>
      <c r="C10" s="2" t="str">
        <f t="shared" si="0"/>
        <v>Blender Ninja</v>
      </c>
      <c r="D10" s="3" t="s">
        <v>33</v>
      </c>
      <c r="E10" s="6">
        <v>90</v>
      </c>
      <c r="F10" s="3">
        <v>35</v>
      </c>
      <c r="G10" s="3" t="s">
        <v>17</v>
      </c>
      <c r="H10" t="str">
        <f>RIGHT(A10,2)</f>
        <v>UK</v>
      </c>
      <c r="I10" s="4">
        <f>DATEVALUE(LEFT(A10,6)&amp;"-2026")</f>
        <v>46257</v>
      </c>
    </row>
    <row r="11" spans="1:9">
      <c r="A11" s="3" t="s">
        <v>44</v>
      </c>
      <c r="B11" s="3" t="s">
        <v>11</v>
      </c>
      <c r="C11" s="2" t="str">
        <f t="shared" si="0"/>
        <v>Sneakers Adidas</v>
      </c>
      <c r="D11" s="3" t="s">
        <v>30</v>
      </c>
      <c r="E11" s="6">
        <v>90</v>
      </c>
      <c r="F11" s="3">
        <v>40</v>
      </c>
      <c r="G11" s="3" t="s">
        <v>13</v>
      </c>
      <c r="H11" t="str">
        <f>RIGHT(A11,2)</f>
        <v>AU</v>
      </c>
      <c r="I11" s="4">
        <f>DATEVALUE(LEFT(A11,6)&amp;"-2026")</f>
        <v>46351</v>
      </c>
    </row>
    <row r="12" spans="1:9">
      <c r="A12" s="3" t="s">
        <v>94</v>
      </c>
      <c r="B12" s="3" t="s">
        <v>95</v>
      </c>
      <c r="C12" s="2" t="str">
        <f t="shared" si="0"/>
        <v>Watch Casio</v>
      </c>
      <c r="D12" s="3" t="s">
        <v>96</v>
      </c>
      <c r="E12" s="6">
        <v>100</v>
      </c>
      <c r="F12" s="3">
        <v>20</v>
      </c>
      <c r="G12" s="3" t="s">
        <v>56</v>
      </c>
      <c r="H12" t="str">
        <f>RIGHT(A12,2)</f>
        <v>FR</v>
      </c>
      <c r="I12" s="4">
        <f>DATEVALUE(LEFT(A12,6)&amp;"-2026")</f>
        <v>46212</v>
      </c>
    </row>
    <row r="13" spans="1:9">
      <c r="A13" s="2" t="s">
        <v>45</v>
      </c>
      <c r="B13" s="2" t="s">
        <v>15</v>
      </c>
      <c r="C13" s="2" t="str">
        <f t="shared" si="0"/>
        <v>Coffee Maker Nespresso</v>
      </c>
      <c r="D13" s="2" t="s">
        <v>46</v>
      </c>
      <c r="E13" s="5">
        <v>120</v>
      </c>
      <c r="F13" s="2">
        <v>35</v>
      </c>
      <c r="G13" s="2" t="s">
        <v>17</v>
      </c>
      <c r="H13" t="str">
        <f>RIGHT(A13,2)</f>
        <v>DE</v>
      </c>
      <c r="I13" s="4">
        <f>DATEVALUE(LEFT(A13,6)&amp;"-2026")</f>
        <v>46364</v>
      </c>
    </row>
    <row r="14" spans="1:9">
      <c r="A14" s="2" t="s">
        <v>14</v>
      </c>
      <c r="B14" s="2" t="s">
        <v>15</v>
      </c>
      <c r="C14" s="2" t="str">
        <f t="shared" si="0"/>
        <v>Coffee Maker Keurig</v>
      </c>
      <c r="D14" s="2" t="s">
        <v>16</v>
      </c>
      <c r="E14" s="5">
        <v>130</v>
      </c>
      <c r="F14" s="2">
        <v>40</v>
      </c>
      <c r="G14" s="2" t="s">
        <v>17</v>
      </c>
      <c r="H14" t="str">
        <f>RIGHT(A14,2)</f>
        <v>US</v>
      </c>
      <c r="I14" s="4">
        <f>DATEVALUE(LEFT(A14,6)&amp;"-2026")</f>
        <v>46084</v>
      </c>
    </row>
    <row r="15" spans="1:9">
      <c r="A15" s="3" t="s">
        <v>37</v>
      </c>
      <c r="B15" s="3" t="s">
        <v>38</v>
      </c>
      <c r="C15" s="2" t="str">
        <f t="shared" si="0"/>
        <v>Hiking Boots Timberland</v>
      </c>
      <c r="D15" s="3" t="s">
        <v>39</v>
      </c>
      <c r="E15" s="6">
        <v>130</v>
      </c>
      <c r="F15" s="3">
        <v>10</v>
      </c>
      <c r="G15" s="3" t="s">
        <v>40</v>
      </c>
      <c r="H15" t="str">
        <f>RIGHT(A15,2)</f>
        <v>UK</v>
      </c>
      <c r="I15" s="4">
        <f>DATEVALUE(LEFT(A15,6)&amp;"-2026")</f>
        <v>46309</v>
      </c>
    </row>
    <row r="16" spans="1:9">
      <c r="A16" s="2" t="s">
        <v>89</v>
      </c>
      <c r="B16" s="2" t="s">
        <v>74</v>
      </c>
      <c r="C16" s="2" t="str">
        <f t="shared" si="0"/>
        <v>Fitness Tracker Garmin</v>
      </c>
      <c r="D16" s="2" t="s">
        <v>90</v>
      </c>
      <c r="E16" s="5">
        <v>130</v>
      </c>
      <c r="F16" s="2">
        <v>5</v>
      </c>
      <c r="G16" s="2" t="s">
        <v>9</v>
      </c>
      <c r="H16" t="str">
        <f>RIGHT(A16,2)</f>
        <v>CA</v>
      </c>
      <c r="I16" s="4">
        <f>DATEVALUE(LEFT(A16,6)&amp;"-2026")</f>
        <v>46166</v>
      </c>
    </row>
    <row r="17" spans="1:9">
      <c r="A17" s="3" t="s">
        <v>47</v>
      </c>
      <c r="B17" s="3" t="s">
        <v>48</v>
      </c>
      <c r="C17" s="2" t="str">
        <f t="shared" si="0"/>
        <v>Smartwatch Fitbit</v>
      </c>
      <c r="D17" s="3" t="s">
        <v>49</v>
      </c>
      <c r="E17" s="6">
        <v>150</v>
      </c>
      <c r="F17" s="3">
        <v>15</v>
      </c>
      <c r="G17" s="3" t="s">
        <v>9</v>
      </c>
      <c r="H17" t="str">
        <f>RIGHT(A17,2)</f>
        <v>CA</v>
      </c>
      <c r="I17" s="4">
        <f>DATEVALUE(LEFT(A17,6)&amp;"-2026")</f>
        <v>46071</v>
      </c>
    </row>
    <row r="18" spans="1:9">
      <c r="A18" s="2" t="s">
        <v>61</v>
      </c>
      <c r="B18" s="2" t="s">
        <v>62</v>
      </c>
      <c r="C18" s="2" t="str">
        <f t="shared" si="0"/>
        <v>Sunglasses Oakley</v>
      </c>
      <c r="D18" s="2" t="s">
        <v>63</v>
      </c>
      <c r="E18" s="5">
        <v>150</v>
      </c>
      <c r="F18" s="2">
        <v>15</v>
      </c>
      <c r="G18" s="2" t="s">
        <v>13</v>
      </c>
      <c r="H18" t="str">
        <f>RIGHT(A18,2)</f>
        <v>UK</v>
      </c>
      <c r="I18" s="4">
        <f>DATEVALUE(LEFT(A18,6)&amp;"-2026")</f>
        <v>46082</v>
      </c>
    </row>
    <row r="19" spans="1:9">
      <c r="A19" s="2" t="s">
        <v>73</v>
      </c>
      <c r="B19" s="2" t="s">
        <v>74</v>
      </c>
      <c r="C19" s="2" t="str">
        <f t="shared" si="0"/>
        <v>Fitness Tracker Xiaomi</v>
      </c>
      <c r="D19" s="2" t="s">
        <v>75</v>
      </c>
      <c r="E19" s="5">
        <v>150</v>
      </c>
      <c r="F19" s="2">
        <v>30</v>
      </c>
      <c r="G19" s="2" t="s">
        <v>9</v>
      </c>
      <c r="H19" t="str">
        <f>RIGHT(A19,2)</f>
        <v>BR</v>
      </c>
      <c r="I19" s="4">
        <f>DATEVALUE(LEFT(A19,6)&amp;"-2026")</f>
        <v>46222</v>
      </c>
    </row>
    <row r="20" spans="1:9">
      <c r="A20" s="2" t="s">
        <v>57</v>
      </c>
      <c r="B20" s="2" t="s">
        <v>48</v>
      </c>
      <c r="C20" s="2" t="str">
        <f t="shared" si="0"/>
        <v>Smartwatch Huawei</v>
      </c>
      <c r="D20" s="2" t="s">
        <v>58</v>
      </c>
      <c r="E20" s="5">
        <v>160</v>
      </c>
      <c r="F20" s="2">
        <v>15</v>
      </c>
      <c r="G20" s="2" t="s">
        <v>9</v>
      </c>
      <c r="H20" t="str">
        <f>RIGHT(A20,2)</f>
        <v>CN</v>
      </c>
      <c r="I20" s="4">
        <f>DATEVALUE(LEFT(A20,6)&amp;"-2026")</f>
        <v>46254</v>
      </c>
    </row>
    <row r="21" spans="1:9">
      <c r="A21" s="2" t="s">
        <v>50</v>
      </c>
      <c r="B21" s="2" t="s">
        <v>25</v>
      </c>
      <c r="C21" s="2" t="str">
        <f t="shared" si="0"/>
        <v>Headphones Bose</v>
      </c>
      <c r="D21" s="2" t="s">
        <v>52</v>
      </c>
      <c r="E21" s="5">
        <v>250</v>
      </c>
      <c r="F21" s="2">
        <v>20</v>
      </c>
      <c r="G21" s="2" t="s">
        <v>9</v>
      </c>
      <c r="H21" t="str">
        <f>RIGHT(A21,2)</f>
        <v>ES</v>
      </c>
      <c r="I21" s="4">
        <f>DATEVALUE(LEFT(A21,6)&amp;"-2026")</f>
        <v>46128</v>
      </c>
    </row>
    <row r="22" spans="1:9">
      <c r="A22" s="2" t="s">
        <v>81</v>
      </c>
      <c r="B22" s="2" t="s">
        <v>32</v>
      </c>
      <c r="C22" s="2" t="str">
        <f t="shared" si="0"/>
        <v>Blender Vitamix</v>
      </c>
      <c r="D22" s="2" t="s">
        <v>82</v>
      </c>
      <c r="E22" s="5">
        <v>400</v>
      </c>
      <c r="F22" s="2">
        <v>40</v>
      </c>
      <c r="G22" s="2" t="s">
        <v>17</v>
      </c>
      <c r="H22" t="str">
        <f>RIGHT(A22,2)</f>
        <v>CA</v>
      </c>
      <c r="I22" s="4">
        <f>DATEVALUE(LEFT(A22,6)&amp;"-2026")</f>
        <v>46214</v>
      </c>
    </row>
    <row r="23" spans="1:9">
      <c r="A23" s="2" t="s">
        <v>34</v>
      </c>
      <c r="B23" s="2" t="s">
        <v>35</v>
      </c>
      <c r="C23" s="2" t="str">
        <f t="shared" si="0"/>
        <v>Tablet Apple</v>
      </c>
      <c r="D23" s="2" t="s">
        <v>36</v>
      </c>
      <c r="E23" s="5">
        <v>500</v>
      </c>
      <c r="F23" s="2">
        <v>50</v>
      </c>
      <c r="G23" s="2" t="s">
        <v>9</v>
      </c>
      <c r="H23" t="str">
        <f>RIGHT(A23,2)</f>
        <v>UK</v>
      </c>
      <c r="I23" s="4">
        <f>DATEVALUE(LEFT(A23,6)&amp;"-2026")</f>
        <v>46270</v>
      </c>
    </row>
    <row r="24" spans="1:9">
      <c r="A24" s="2" t="s">
        <v>67</v>
      </c>
      <c r="B24" s="2" t="s">
        <v>68</v>
      </c>
      <c r="C24" s="2" t="str">
        <f t="shared" si="0"/>
        <v>Camera Nikon</v>
      </c>
      <c r="D24" s="2" t="s">
        <v>69</v>
      </c>
      <c r="E24" s="5">
        <v>700</v>
      </c>
      <c r="F24" s="2">
        <v>50</v>
      </c>
      <c r="G24" s="2" t="s">
        <v>9</v>
      </c>
      <c r="H24" t="str">
        <f>RIGHT(A24,2)</f>
        <v>RU</v>
      </c>
      <c r="I24" s="4">
        <f>DATEVALUE(LEFT(A24,6)&amp;"-2026")</f>
        <v>46156</v>
      </c>
    </row>
    <row r="25" spans="1:9">
      <c r="A25" s="2" t="s">
        <v>76</v>
      </c>
      <c r="B25" s="2" t="s">
        <v>77</v>
      </c>
      <c r="C25" s="2" t="str">
        <f t="shared" si="0"/>
        <v>Smartphone Google</v>
      </c>
      <c r="D25" s="2" t="s">
        <v>78</v>
      </c>
      <c r="E25" s="5">
        <v>800</v>
      </c>
      <c r="F25" s="2">
        <v>45</v>
      </c>
      <c r="G25" s="2" t="s">
        <v>9</v>
      </c>
      <c r="H25" t="str">
        <f>RIGHT(A25,2)</f>
        <v>CA</v>
      </c>
      <c r="I25" s="4">
        <f>DATEVALUE(LEFT(A25,6)&amp;"-2026")</f>
        <v>46294</v>
      </c>
    </row>
    <row r="26" spans="1:9">
      <c r="A26" s="3" t="s">
        <v>18</v>
      </c>
      <c r="B26" s="3" t="s">
        <v>77</v>
      </c>
      <c r="C26" s="2" t="str">
        <f t="shared" si="0"/>
        <v>Smartphone Samsung</v>
      </c>
      <c r="D26" s="3" t="s">
        <v>20</v>
      </c>
      <c r="E26" s="6">
        <v>900</v>
      </c>
      <c r="F26" s="3">
        <v>25</v>
      </c>
      <c r="G26" s="3" t="s">
        <v>9</v>
      </c>
      <c r="H26" t="str">
        <f>RIGHT(A26,2)</f>
        <v>US</v>
      </c>
      <c r="I26" s="4">
        <f>DATEVALUE(LEFT(A26,6)&amp;"-2026")</f>
        <v>46123</v>
      </c>
    </row>
    <row r="27" spans="1:9">
      <c r="A27" s="2" t="s">
        <v>41</v>
      </c>
      <c r="B27" s="2" t="s">
        <v>42</v>
      </c>
      <c r="C27" s="2" t="str">
        <f t="shared" si="0"/>
        <v>Laptop HP</v>
      </c>
      <c r="D27" s="2" t="s">
        <v>43</v>
      </c>
      <c r="E27" s="5">
        <v>950</v>
      </c>
      <c r="F27" s="2">
        <v>25</v>
      </c>
      <c r="G27" s="2" t="s">
        <v>9</v>
      </c>
      <c r="H27" t="str">
        <f>RIGHT(A27,2)</f>
        <v>IN</v>
      </c>
      <c r="I27" s="4">
        <f>DATEVALUE(LEFT(A27,6)&amp;"-2026")</f>
        <v>46190</v>
      </c>
    </row>
    <row r="28" spans="1:9">
      <c r="A28" s="3" t="s">
        <v>59</v>
      </c>
      <c r="B28" s="3" t="s">
        <v>42</v>
      </c>
      <c r="C28" s="2" t="str">
        <f t="shared" si="0"/>
        <v>Laptop Asus</v>
      </c>
      <c r="D28" s="3" t="s">
        <v>60</v>
      </c>
      <c r="E28" s="6">
        <v>980</v>
      </c>
      <c r="F28" s="3">
        <v>10</v>
      </c>
      <c r="G28" s="3" t="s">
        <v>9</v>
      </c>
      <c r="H28" t="str">
        <f>RIGHT(A28,2)</f>
        <v>IT</v>
      </c>
      <c r="I28" s="4">
        <f>DATEVALUE(LEFT(A28,6)&amp;"-2026")</f>
        <v>46049</v>
      </c>
    </row>
    <row r="29" spans="1:9">
      <c r="A29" s="2" t="s">
        <v>6</v>
      </c>
      <c r="B29" s="2" t="s">
        <v>42</v>
      </c>
      <c r="C29" s="2" t="str">
        <f t="shared" si="0"/>
        <v>Laptop Dell</v>
      </c>
      <c r="D29" s="2" t="s">
        <v>8</v>
      </c>
      <c r="E29" s="5">
        <v>1000</v>
      </c>
      <c r="F29" s="2">
        <v>30</v>
      </c>
      <c r="G29" s="2" t="s">
        <v>9</v>
      </c>
      <c r="H29" t="str">
        <f>RIGHT(A29,2)</f>
        <v>US</v>
      </c>
      <c r="I29" s="4">
        <f>DATEVALUE(LEFT(A29,6)&amp;"-2026")</f>
        <v>46050</v>
      </c>
    </row>
  </sheetData>
  <autoFilter ref="A1:I29" xr:uid="{D859BEC4-C6E5-45DA-BC5F-EC78415DB68B}">
    <sortState xmlns:xlrd2="http://schemas.microsoft.com/office/spreadsheetml/2017/richdata2" ref="A2:I29">
      <sortCondition ref="E1:E29"/>
    </sortState>
  </autoFilter>
  <conditionalFormatting sqref="E1:E29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{A005BE01-FBE2-4F37-9F39-59F90085F8CF}</x14:id>
        </ext>
      </extLst>
    </cfRule>
  </conditionalFormatting>
  <conditionalFormatting sqref="G1:G29">
    <cfRule type="containsText" dxfId="0" priority="1" operator="containsText" text="Electronics">
      <formula>NOT(ISERROR(SEARCH("Electronics",G1)))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05BE01-FBE2-4F37-9F39-59F90085F8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E1:E29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saranmowgli@gmail.com</dc:creator>
  <cp:lastModifiedBy>saranmowgli@gmail.com</cp:lastModifiedBy>
  <dcterms:created xsi:type="dcterms:W3CDTF">2026-09-27T11:21:26Z</dcterms:created>
  <dcterms:modified xsi:type="dcterms:W3CDTF">2026-09-27T13:46:48Z</dcterms:modified>
</cp:coreProperties>
</file>